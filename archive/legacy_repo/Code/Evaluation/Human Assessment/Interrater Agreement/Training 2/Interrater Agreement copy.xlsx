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flandre/Documents/[03] School/École d'ingénieur/2A/Stage Miami University/Projet/Explanations/Evaluation/Human Assessment/Interrater Agreement/Training 2/"/>
    </mc:Choice>
  </mc:AlternateContent>
  <xr:revisionPtr revIDLastSave="0" documentId="13_ncr:1_{31954CAC-72B2-BA41-AA78-66158C05C44D}" xr6:coauthVersionLast="47" xr6:coauthVersionMax="47" xr10:uidLastSave="{00000000-0000-0000-0000-000000000000}"/>
  <bookViews>
    <workbookView xWindow="0" yWindow="740" windowWidth="29400" windowHeight="18380" activeTab="2" xr2:uid="{08D24A0A-9B37-1E4F-9BB7-00D5F45D440C}"/>
  </bookViews>
  <sheets>
    <sheet name="Data" sheetId="1" r:id="rId1"/>
    <sheet name="Confusion Matrix Faithfulness" sheetId="2" r:id="rId2"/>
    <sheet name="Confusion Matrix Coverage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D7" i="2"/>
  <c r="E7" i="2"/>
  <c r="F7" i="2"/>
  <c r="B7" i="2"/>
  <c r="G3" i="2"/>
  <c r="G4" i="2"/>
  <c r="G5" i="2"/>
  <c r="G6" i="2"/>
  <c r="G2" i="2"/>
  <c r="G3" i="5"/>
  <c r="G4" i="5"/>
  <c r="G5" i="5"/>
  <c r="G6" i="5"/>
  <c r="G2" i="5"/>
  <c r="B7" i="5"/>
  <c r="C7" i="5"/>
  <c r="F7" i="5"/>
  <c r="D7" i="5"/>
  <c r="E7" i="5"/>
  <c r="B13" i="5"/>
  <c r="B13" i="2"/>
  <c r="G7" i="5" l="1"/>
  <c r="B8" i="5"/>
  <c r="F8" i="2"/>
  <c r="E8" i="2"/>
  <c r="D8" i="2"/>
  <c r="C8" i="2"/>
  <c r="G7" i="2"/>
  <c r="B8" i="2"/>
  <c r="F8" i="5"/>
  <c r="C8" i="5"/>
  <c r="E8" i="5"/>
  <c r="D8" i="5"/>
  <c r="G8" i="2" l="1"/>
  <c r="B16" i="2" s="1"/>
  <c r="G8" i="5"/>
  <c r="B16" i="5" s="1"/>
</calcChain>
</file>

<file path=xl/sharedStrings.xml><?xml version="1.0" encoding="utf-8"?>
<sst xmlns="http://schemas.openxmlformats.org/spreadsheetml/2006/main" count="19" uniqueCount="10">
  <si>
    <t>Cases</t>
  </si>
  <si>
    <t>Faithfulness</t>
  </si>
  <si>
    <t>Coverage</t>
  </si>
  <si>
    <t>Cédric</t>
  </si>
  <si>
    <t>Siva</t>
  </si>
  <si>
    <t>Cédric/Siva</t>
  </si>
  <si>
    <t>Po</t>
  </si>
  <si>
    <t>Total</t>
  </si>
  <si>
    <t>Pe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</si>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</sst>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8E87-7115-CC43-96C1-C974E84D9BF2}">
  <dimension ref="A1:E8"/>
  <sheetViews>
    <sheetView zoomScale="157" workbookViewId="0">
      <selection activeCell="B3" sqref="B3"/>
    </sheetView>
  </sheetViews>
  <sheetFormatPr baseColWidth="10" defaultRowHeight="16" x14ac:dyDescent="0.2"/>
  <sheetData>
    <row r="1" spans="1:5" x14ac:dyDescent="0.2">
      <c r="A1" s="1"/>
      <c r="B1" s="6" t="s">
        <v>1</v>
      </c>
      <c r="C1" s="6"/>
      <c r="D1" s="6" t="s">
        <v>2</v>
      </c>
      <c r="E1" s="6"/>
    </row>
    <row r="2" spans="1:5" x14ac:dyDescent="0.2">
      <c r="A2" s="2" t="s">
        <v>0</v>
      </c>
      <c r="B2" s="2" t="s">
        <v>3</v>
      </c>
      <c r="C2" s="2" t="s">
        <v>4</v>
      </c>
      <c r="D2" s="2" t="s">
        <v>3</v>
      </c>
      <c r="E2" s="2" t="s">
        <v>4</v>
      </c>
    </row>
    <row r="3" spans="1:5" x14ac:dyDescent="0.2">
      <c r="A3" s="2">
        <v>1</v>
      </c>
      <c r="B3" s="1">
        <v>4</v>
      </c>
      <c r="C3" s="1">
        <v>3</v>
      </c>
      <c r="D3" s="1">
        <v>5</v>
      </c>
      <c r="E3" s="1">
        <v>4</v>
      </c>
    </row>
    <row r="4" spans="1:5" x14ac:dyDescent="0.2">
      <c r="A4" s="2">
        <v>2</v>
      </c>
      <c r="B4" s="1">
        <v>2</v>
      </c>
      <c r="C4" s="1">
        <v>2</v>
      </c>
      <c r="D4" s="1">
        <v>5</v>
      </c>
      <c r="E4" s="1">
        <v>3</v>
      </c>
    </row>
    <row r="5" spans="1:5" x14ac:dyDescent="0.2">
      <c r="A5" s="2">
        <v>3</v>
      </c>
      <c r="B5" s="1">
        <v>3</v>
      </c>
      <c r="C5" s="1">
        <v>4</v>
      </c>
      <c r="D5" s="1">
        <v>5</v>
      </c>
      <c r="E5" s="1">
        <v>5</v>
      </c>
    </row>
    <row r="6" spans="1:5" x14ac:dyDescent="0.2">
      <c r="A6" s="2">
        <v>4</v>
      </c>
      <c r="B6" s="1">
        <v>1</v>
      </c>
      <c r="C6" s="1">
        <v>1</v>
      </c>
      <c r="D6" s="1">
        <v>4</v>
      </c>
      <c r="E6" s="1">
        <v>3</v>
      </c>
    </row>
    <row r="7" spans="1:5" x14ac:dyDescent="0.2">
      <c r="A7" s="2">
        <v>5</v>
      </c>
      <c r="B7" s="1">
        <v>5</v>
      </c>
      <c r="C7" s="1">
        <v>5</v>
      </c>
      <c r="D7" s="1">
        <v>5</v>
      </c>
      <c r="E7" s="1">
        <v>4</v>
      </c>
    </row>
    <row r="8" spans="1:5" x14ac:dyDescent="0.2">
      <c r="A8" s="2">
        <v>6</v>
      </c>
      <c r="B8" s="1">
        <v>3</v>
      </c>
      <c r="C8" s="1">
        <v>4</v>
      </c>
      <c r="D8" s="1">
        <v>3</v>
      </c>
      <c r="E8" s="1">
        <v>5</v>
      </c>
    </row>
  </sheetData>
  <mergeCells count="2">
    <mergeCell ref="B1:C1"/>
    <mergeCell ref="D1:E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71195-0794-6344-AF57-E53340620EF9}">
  <dimension ref="A1:G16"/>
  <sheetViews>
    <sheetView zoomScale="177" workbookViewId="0">
      <selection activeCell="E4" sqref="E4"/>
    </sheetView>
  </sheetViews>
  <sheetFormatPr baseColWidth="10" defaultRowHeight="16" x14ac:dyDescent="0.2"/>
  <cols>
    <col min="1" max="1" width="16.33203125" customWidth="1"/>
  </cols>
  <sheetData>
    <row r="1" spans="1:7" x14ac:dyDescent="0.2">
      <c r="A1" s="1" t="s">
        <v>5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 t="s">
        <v>7</v>
      </c>
    </row>
    <row r="2" spans="1:7" x14ac:dyDescent="0.2">
      <c r="A2" s="1">
        <v>1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2">
        <f>SUM(B2:F2)</f>
        <v>1</v>
      </c>
    </row>
    <row r="3" spans="1:7" x14ac:dyDescent="0.2">
      <c r="A3" s="1">
        <v>2</v>
      </c>
      <c r="B3" s="1">
        <v>0</v>
      </c>
      <c r="C3" s="1">
        <v>1</v>
      </c>
      <c r="D3" s="1">
        <v>0</v>
      </c>
      <c r="E3" s="1">
        <v>0</v>
      </c>
      <c r="F3" s="1">
        <v>0</v>
      </c>
      <c r="G3" s="2">
        <f t="shared" ref="G3:G6" si="0">SUM(B3:F3)</f>
        <v>1</v>
      </c>
    </row>
    <row r="4" spans="1:7" x14ac:dyDescent="0.2">
      <c r="A4" s="1">
        <v>3</v>
      </c>
      <c r="B4" s="1">
        <v>0</v>
      </c>
      <c r="C4" s="1">
        <v>0</v>
      </c>
      <c r="D4" s="1">
        <v>0</v>
      </c>
      <c r="E4" s="1">
        <v>2</v>
      </c>
      <c r="F4" s="1">
        <v>0</v>
      </c>
      <c r="G4" s="2">
        <f t="shared" si="0"/>
        <v>2</v>
      </c>
    </row>
    <row r="5" spans="1:7" x14ac:dyDescent="0.2">
      <c r="A5" s="1">
        <v>4</v>
      </c>
      <c r="B5" s="1">
        <v>0</v>
      </c>
      <c r="C5" s="1">
        <v>0</v>
      </c>
      <c r="D5" s="1">
        <v>1</v>
      </c>
      <c r="E5" s="1">
        <v>0</v>
      </c>
      <c r="F5" s="1">
        <v>0</v>
      </c>
      <c r="G5" s="2">
        <f t="shared" si="0"/>
        <v>1</v>
      </c>
    </row>
    <row r="6" spans="1:7" x14ac:dyDescent="0.2">
      <c r="A6" s="1">
        <v>5</v>
      </c>
      <c r="B6" s="1">
        <v>0</v>
      </c>
      <c r="C6" s="1">
        <v>0</v>
      </c>
      <c r="D6" s="1">
        <v>0</v>
      </c>
      <c r="E6" s="1">
        <v>0</v>
      </c>
      <c r="F6" s="1">
        <v>1</v>
      </c>
      <c r="G6" s="2">
        <f t="shared" si="0"/>
        <v>1</v>
      </c>
    </row>
    <row r="7" spans="1:7" x14ac:dyDescent="0.2">
      <c r="A7" s="2" t="s">
        <v>7</v>
      </c>
      <c r="B7" s="2">
        <f>SUM(B2:B6)</f>
        <v>1</v>
      </c>
      <c r="C7" s="2">
        <f t="shared" ref="C7:F7" si="1">SUM(C2:C6)</f>
        <v>1</v>
      </c>
      <c r="D7" s="2">
        <f t="shared" si="1"/>
        <v>1</v>
      </c>
      <c r="E7" s="2">
        <f t="shared" si="1"/>
        <v>2</v>
      </c>
      <c r="F7" s="2">
        <f t="shared" si="1"/>
        <v>1</v>
      </c>
      <c r="G7" s="2">
        <f>SUM(G2:G6)</f>
        <v>6</v>
      </c>
    </row>
    <row r="8" spans="1:7" x14ac:dyDescent="0.2">
      <c r="A8" s="4" t="s">
        <v>8</v>
      </c>
      <c r="B8">
        <f>(B7*$G2)/36</f>
        <v>2.7777777777777776E-2</v>
      </c>
      <c r="C8">
        <f>(C7*G3)/36</f>
        <v>2.7777777777777776E-2</v>
      </c>
      <c r="D8">
        <f>(D7*$G4)/36</f>
        <v>5.5555555555555552E-2</v>
      </c>
      <c r="E8">
        <f>(E7*$G5)/36</f>
        <v>5.5555555555555552E-2</v>
      </c>
      <c r="F8">
        <f>(F7*$G6)/36</f>
        <v>2.7777777777777776E-2</v>
      </c>
      <c r="G8" s="4">
        <f>SUM(B8:F8)</f>
        <v>0.19444444444444442</v>
      </c>
    </row>
    <row r="13" spans="1:7" x14ac:dyDescent="0.2">
      <c r="A13" s="3" t="s">
        <v>6</v>
      </c>
      <c r="B13" s="3">
        <f>SUM(B2,C3,D4,E5,F6)/6</f>
        <v>0.5</v>
      </c>
    </row>
    <row r="16" spans="1:7" x14ac:dyDescent="0.2">
      <c r="A16" s="5" t="s">
        <v>9</v>
      </c>
      <c r="B16" s="5">
        <f>(B13-G8)/(1-G8)</f>
        <v>0.37931034482758624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C9DDD-0406-4E41-93D5-82D3EF52001F}">
  <dimension ref="A1:G16"/>
  <sheetViews>
    <sheetView tabSelected="1" zoomScale="163" workbookViewId="0">
      <selection activeCell="F6" sqref="F6"/>
    </sheetView>
  </sheetViews>
  <sheetFormatPr baseColWidth="10" defaultRowHeight="16" x14ac:dyDescent="0.2"/>
  <cols>
    <col min="1" max="1" width="16.33203125" customWidth="1"/>
  </cols>
  <sheetData>
    <row r="1" spans="1:7" x14ac:dyDescent="0.2">
      <c r="A1" s="1" t="s">
        <v>5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 t="s">
        <v>7</v>
      </c>
    </row>
    <row r="2" spans="1:7" x14ac:dyDescent="0.2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2">
        <f>SUM(B2:F2)</f>
        <v>0</v>
      </c>
    </row>
    <row r="3" spans="1:7" x14ac:dyDescent="0.2">
      <c r="A3" s="1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2">
        <f t="shared" ref="G3:G6" si="0">SUM(B3:F3)</f>
        <v>0</v>
      </c>
    </row>
    <row r="4" spans="1:7" x14ac:dyDescent="0.2">
      <c r="A4" s="1">
        <v>3</v>
      </c>
      <c r="B4" s="1">
        <v>0</v>
      </c>
      <c r="C4" s="1">
        <v>0</v>
      </c>
      <c r="D4" s="1">
        <v>0</v>
      </c>
      <c r="E4" s="1">
        <v>0</v>
      </c>
      <c r="F4" s="1">
        <v>1</v>
      </c>
      <c r="G4" s="2">
        <f>SUM(B4:F4)</f>
        <v>1</v>
      </c>
    </row>
    <row r="5" spans="1:7" x14ac:dyDescent="0.2">
      <c r="A5" s="1">
        <v>4</v>
      </c>
      <c r="B5" s="1">
        <v>0</v>
      </c>
      <c r="C5" s="1">
        <v>0</v>
      </c>
      <c r="D5" s="1">
        <v>1</v>
      </c>
      <c r="E5" s="1">
        <v>0</v>
      </c>
      <c r="F5" s="1">
        <v>0</v>
      </c>
      <c r="G5" s="2">
        <f t="shared" si="0"/>
        <v>1</v>
      </c>
    </row>
    <row r="6" spans="1:7" x14ac:dyDescent="0.2">
      <c r="A6" s="1">
        <v>5</v>
      </c>
      <c r="B6" s="1">
        <v>0</v>
      </c>
      <c r="C6" s="1">
        <v>0</v>
      </c>
      <c r="D6" s="1">
        <v>1</v>
      </c>
      <c r="E6" s="1">
        <v>2</v>
      </c>
      <c r="F6" s="1">
        <v>1</v>
      </c>
      <c r="G6" s="2">
        <f t="shared" si="0"/>
        <v>4</v>
      </c>
    </row>
    <row r="7" spans="1:7" x14ac:dyDescent="0.2">
      <c r="A7" s="2" t="s">
        <v>7</v>
      </c>
      <c r="B7" s="2">
        <f t="shared" ref="B7:C7" si="1">SUM(B2:B6)</f>
        <v>0</v>
      </c>
      <c r="C7" s="2">
        <f t="shared" si="1"/>
        <v>0</v>
      </c>
      <c r="D7" s="2">
        <f>SUM(D2:D6)</f>
        <v>2</v>
      </c>
      <c r="E7" s="2">
        <f>SUM(E2:E6)</f>
        <v>2</v>
      </c>
      <c r="F7" s="2">
        <f>SUM(F2:F6)</f>
        <v>2</v>
      </c>
      <c r="G7" s="2">
        <f>SUM(G2:G6)</f>
        <v>6</v>
      </c>
    </row>
    <row r="8" spans="1:7" x14ac:dyDescent="0.2">
      <c r="A8" s="4" t="s">
        <v>8</v>
      </c>
      <c r="B8">
        <f>(B7*$G2)/36</f>
        <v>0</v>
      </c>
      <c r="C8">
        <f>(C7*G3)/36</f>
        <v>0</v>
      </c>
      <c r="D8">
        <f>(D7*$G4)/36</f>
        <v>5.5555555555555552E-2</v>
      </c>
      <c r="E8">
        <f>(E7*$G5)/36</f>
        <v>5.5555555555555552E-2</v>
      </c>
      <c r="F8">
        <f>(F7*$G6)/36</f>
        <v>0.22222222222222221</v>
      </c>
      <c r="G8" s="4">
        <f>SUM(B8:F8)</f>
        <v>0.33333333333333331</v>
      </c>
    </row>
    <row r="13" spans="1:7" x14ac:dyDescent="0.2">
      <c r="A13" s="3" t="s">
        <v>6</v>
      </c>
      <c r="B13" s="3">
        <f>SUM(B2,C3,D4,E5,F6)/6</f>
        <v>0.16666666666666666</v>
      </c>
    </row>
    <row r="16" spans="1:7" x14ac:dyDescent="0.2">
      <c r="A16" s="5" t="s">
        <v>9</v>
      </c>
      <c r="B16" s="5">
        <f>(B13-G8)/(1-G8)</f>
        <v>-0.24999999999999997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Confusion Matrix Faithfulness</vt:lpstr>
      <vt:lpstr>Confusion Matrix 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 FLANDRE</dc:creator>
  <cp:lastModifiedBy>Noe FLANDRE</cp:lastModifiedBy>
  <dcterms:created xsi:type="dcterms:W3CDTF">2024-06-27T18:13:48Z</dcterms:created>
  <dcterms:modified xsi:type="dcterms:W3CDTF">2024-07-01T15:19:30Z</dcterms:modified>
</cp:coreProperties>
</file>