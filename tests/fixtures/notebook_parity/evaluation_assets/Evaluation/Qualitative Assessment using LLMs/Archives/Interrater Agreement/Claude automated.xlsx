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flandre/Documents/[03] School/École d'ingénieur/2A/Stage USA/Projet/Explanations/Evaluation/Evaluation using LLMs/Results/Claude4ExamplesAssessALL/"/>
    </mc:Choice>
  </mc:AlternateContent>
  <xr:revisionPtr revIDLastSave="0" documentId="13_ncr:1_{50070456-ABF9-3A43-B914-99DE920600AB}" xr6:coauthVersionLast="47" xr6:coauthVersionMax="47" xr10:uidLastSave="{00000000-0000-0000-0000-000000000000}"/>
  <bookViews>
    <workbookView xWindow="14700" yWindow="740" windowWidth="14700" windowHeight="18380" activeTab="2" xr2:uid="{08D24A0A-9B37-1E4F-9BB7-00D5F45D440C}"/>
  </bookViews>
  <sheets>
    <sheet name="Data" sheetId="1" r:id="rId1"/>
    <sheet name="Faithfulness (2)" sheetId="8" r:id="rId2"/>
    <sheet name="Coverage (2)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9" l="1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F4" i="9"/>
  <c r="F9" i="9" s="1"/>
  <c r="E4" i="9"/>
  <c r="D4" i="9"/>
  <c r="C4" i="9"/>
  <c r="B4" i="9"/>
  <c r="O8" i="9"/>
  <c r="N8" i="9"/>
  <c r="M8" i="9"/>
  <c r="L8" i="9"/>
  <c r="K8" i="9"/>
  <c r="O7" i="9"/>
  <c r="N7" i="9"/>
  <c r="M7" i="9"/>
  <c r="L7" i="9"/>
  <c r="K7" i="9"/>
  <c r="O6" i="9"/>
  <c r="N6" i="9"/>
  <c r="M6" i="9"/>
  <c r="L6" i="9"/>
  <c r="K6" i="9"/>
  <c r="O5" i="9"/>
  <c r="N5" i="9"/>
  <c r="M5" i="9"/>
  <c r="L5" i="9"/>
  <c r="K5" i="9"/>
  <c r="O4" i="9"/>
  <c r="N4" i="9"/>
  <c r="M4" i="9"/>
  <c r="L4" i="9"/>
  <c r="K4" i="9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E4" i="8"/>
  <c r="D4" i="8"/>
  <c r="C4" i="8"/>
  <c r="B4" i="8"/>
  <c r="O8" i="8"/>
  <c r="N8" i="8"/>
  <c r="M8" i="8"/>
  <c r="L8" i="8"/>
  <c r="K8" i="8"/>
  <c r="O7" i="8"/>
  <c r="N7" i="8"/>
  <c r="M7" i="8"/>
  <c r="L7" i="8"/>
  <c r="K7" i="8"/>
  <c r="O6" i="8"/>
  <c r="N6" i="8"/>
  <c r="M6" i="8"/>
  <c r="L6" i="8"/>
  <c r="K6" i="8"/>
  <c r="O5" i="8"/>
  <c r="N5" i="8"/>
  <c r="M5" i="8"/>
  <c r="L5" i="8"/>
  <c r="K5" i="8"/>
  <c r="O4" i="8"/>
  <c r="N4" i="8"/>
  <c r="M4" i="8"/>
  <c r="L4" i="8"/>
  <c r="K4" i="8"/>
  <c r="C9" i="9" l="1"/>
  <c r="E9" i="9"/>
  <c r="D9" i="8"/>
  <c r="E9" i="8"/>
  <c r="B9" i="9"/>
  <c r="D9" i="9"/>
  <c r="F9" i="8"/>
  <c r="F10" i="8" s="1"/>
  <c r="B9" i="8"/>
  <c r="C9" i="8"/>
  <c r="G8" i="9"/>
  <c r="F11" i="9" s="1"/>
  <c r="G7" i="9"/>
  <c r="H7" i="9" s="1"/>
  <c r="F10" i="9"/>
  <c r="G6" i="9"/>
  <c r="H6" i="9" s="1"/>
  <c r="C10" i="9"/>
  <c r="G5" i="9"/>
  <c r="H5" i="9" s="1"/>
  <c r="D10" i="9"/>
  <c r="G8" i="8"/>
  <c r="H8" i="8" s="1"/>
  <c r="G7" i="8"/>
  <c r="H7" i="8" s="1"/>
  <c r="G6" i="8"/>
  <c r="H6" i="8" s="1"/>
  <c r="E10" i="8"/>
  <c r="G5" i="8"/>
  <c r="H5" i="8" s="1"/>
  <c r="C10" i="8"/>
  <c r="H8" i="9" l="1"/>
  <c r="L20" i="9"/>
  <c r="D11" i="8"/>
  <c r="O20" i="9"/>
  <c r="O19" i="9"/>
  <c r="E11" i="9"/>
  <c r="E10" i="9"/>
  <c r="N20" i="9" s="1"/>
  <c r="L18" i="9"/>
  <c r="M19" i="9"/>
  <c r="D11" i="9"/>
  <c r="L19" i="9"/>
  <c r="C11" i="9"/>
  <c r="O18" i="9"/>
  <c r="M20" i="9"/>
  <c r="M18" i="9"/>
  <c r="O21" i="9"/>
  <c r="M21" i="9"/>
  <c r="L21" i="9"/>
  <c r="F11" i="8"/>
  <c r="E11" i="8"/>
  <c r="L20" i="8"/>
  <c r="N19" i="8"/>
  <c r="L21" i="8"/>
  <c r="O18" i="8"/>
  <c r="D10" i="8"/>
  <c r="M19" i="8" s="1"/>
  <c r="C11" i="8"/>
  <c r="L18" i="8"/>
  <c r="L19" i="8"/>
  <c r="O21" i="8"/>
  <c r="O20" i="8"/>
  <c r="N20" i="8"/>
  <c r="N18" i="8"/>
  <c r="N21" i="8"/>
  <c r="O19" i="8"/>
  <c r="B12" i="8"/>
  <c r="B10" i="8"/>
  <c r="G4" i="8"/>
  <c r="G9" i="8" s="1"/>
  <c r="B13" i="8" s="1"/>
  <c r="B19" i="8"/>
  <c r="N21" i="9" l="1"/>
  <c r="N19" i="9"/>
  <c r="N18" i="9"/>
  <c r="M20" i="8"/>
  <c r="M18" i="8"/>
  <c r="M21" i="8"/>
  <c r="K20" i="8"/>
  <c r="K19" i="8"/>
  <c r="B11" i="8"/>
  <c r="G11" i="8" s="1"/>
  <c r="B18" i="8" s="1"/>
  <c r="H4" i="8"/>
  <c r="K21" i="8"/>
  <c r="K18" i="8"/>
  <c r="M17" i="8"/>
  <c r="K17" i="8" l="1"/>
  <c r="N17" i="8"/>
  <c r="L17" i="8"/>
  <c r="O17" i="8"/>
  <c r="B14" i="8" l="1"/>
  <c r="B20" i="8" s="1"/>
  <c r="B12" i="9"/>
  <c r="G4" i="9"/>
  <c r="H4" i="9" s="1"/>
  <c r="B10" i="9"/>
  <c r="B19" i="9"/>
  <c r="K21" i="9" l="1"/>
  <c r="K18" i="9"/>
  <c r="K20" i="9"/>
  <c r="G9" i="9"/>
  <c r="B13" i="9" s="1"/>
  <c r="B11" i="9"/>
  <c r="G11" i="9" s="1"/>
  <c r="B18" i="9" s="1"/>
  <c r="N17" i="9"/>
  <c r="M17" i="9"/>
  <c r="L17" i="9"/>
  <c r="O17" i="9"/>
  <c r="K17" i="9"/>
  <c r="K19" i="9"/>
  <c r="B14" i="9" l="1"/>
  <c r="B20" i="9" s="1"/>
</calcChain>
</file>

<file path=xl/sharedStrings.xml><?xml version="1.0" encoding="utf-8"?>
<sst xmlns="http://schemas.openxmlformats.org/spreadsheetml/2006/main" count="43" uniqueCount="20">
  <si>
    <t>Cases</t>
  </si>
  <si>
    <t>Faithfulness</t>
  </si>
  <si>
    <t>Coverage</t>
  </si>
  <si>
    <t>Cédric</t>
  </si>
  <si>
    <t>Total</t>
  </si>
  <si>
    <t>Kappa</t>
  </si>
  <si>
    <t>LLM</t>
  </si>
  <si>
    <t>Cédric/LLM</t>
  </si>
  <si>
    <t>Final Metrics</t>
  </si>
  <si>
    <t>Percent Agreement</t>
  </si>
  <si>
    <t>Confusion Matrix</t>
  </si>
  <si>
    <t>Weighted Agreement Matrix</t>
  </si>
  <si>
    <t>Po (kappa)</t>
  </si>
  <si>
    <t>Pe (kappa)</t>
  </si>
  <si>
    <t>Po (linear weighted kappa)</t>
  </si>
  <si>
    <t>Pe (linear weighted kappa)</t>
  </si>
  <si>
    <t>Row Marginal Probabilities</t>
  </si>
  <si>
    <t>Column marginal Probablities</t>
  </si>
  <si>
    <t>Expected Agreements Weighted</t>
  </si>
  <si>
    <t xml:space="preserve">Linear weighted kappa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</si>
</sst>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59595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6" borderId="0" xfId="0" applyNumberFormat="1" applyFill="1"/>
    <xf numFmtId="0" fontId="1" fillId="0" borderId="0" xfId="0" applyFont="1"/>
    <xf numFmtId="0" fontId="0" fillId="7" borderId="0" xfId="0" applyFill="1"/>
    <xf numFmtId="0" fontId="0" fillId="8" borderId="0" xfId="0" applyFill="1"/>
    <xf numFmtId="0" fontId="2" fillId="9" borderId="0" xfId="0" applyFont="1" applyFill="1"/>
    <xf numFmtId="0" fontId="2" fillId="10" borderId="0" xfId="0" applyFont="1" applyFill="1"/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E87-7115-CC43-96C1-C974E84D9BF2}">
  <dimension ref="A1:E10"/>
  <sheetViews>
    <sheetView topLeftCell="B1" zoomScale="224" zoomScaleNormal="224" workbookViewId="0">
      <selection activeCell="B8" sqref="B8"/>
    </sheetView>
  </sheetViews>
  <sheetFormatPr baseColWidth="10" defaultRowHeight="16" x14ac:dyDescent="0.2"/>
  <sheetData>
    <row r="1" spans="1:5" x14ac:dyDescent="0.2">
      <c r="A1" s="10"/>
      <c r="B1" s="12" t="s">
        <v>1</v>
      </c>
      <c r="C1" s="12"/>
      <c r="D1" s="12" t="s">
        <v>2</v>
      </c>
      <c r="E1" s="12"/>
    </row>
    <row r="2" spans="1:5" x14ac:dyDescent="0.2">
      <c r="A2" s="11" t="s">
        <v>0</v>
      </c>
      <c r="B2" s="11" t="s">
        <v>3</v>
      </c>
      <c r="C2" s="11" t="s">
        <v>6</v>
      </c>
      <c r="D2" s="11" t="s">
        <v>3</v>
      </c>
      <c r="E2" s="11" t="s">
        <v>6</v>
      </c>
    </row>
    <row r="3" spans="1:5" x14ac:dyDescent="0.2">
      <c r="A3" s="11">
        <v>1</v>
      </c>
      <c r="B3" s="10">
        <v>1</v>
      </c>
      <c r="C3" s="10">
        <v>5</v>
      </c>
      <c r="D3" s="10">
        <v>5</v>
      </c>
      <c r="E3" s="10">
        <v>5</v>
      </c>
    </row>
    <row r="4" spans="1:5" x14ac:dyDescent="0.2">
      <c r="A4" s="11">
        <v>2</v>
      </c>
      <c r="B4" s="10">
        <v>2</v>
      </c>
      <c r="C4" s="10">
        <v>5</v>
      </c>
      <c r="D4" s="10">
        <v>5</v>
      </c>
      <c r="E4" s="10">
        <v>5</v>
      </c>
    </row>
    <row r="5" spans="1:5" x14ac:dyDescent="0.2">
      <c r="A5" s="11">
        <v>3</v>
      </c>
      <c r="B5" s="10">
        <v>1</v>
      </c>
      <c r="C5" s="10">
        <v>2</v>
      </c>
      <c r="D5" s="10">
        <v>4</v>
      </c>
      <c r="E5" s="10">
        <v>2</v>
      </c>
    </row>
    <row r="6" spans="1:5" x14ac:dyDescent="0.2">
      <c r="A6" s="11">
        <v>4</v>
      </c>
      <c r="B6" s="10">
        <v>3</v>
      </c>
      <c r="C6" s="10">
        <v>5</v>
      </c>
      <c r="D6" s="10">
        <v>5</v>
      </c>
      <c r="E6" s="10">
        <v>5</v>
      </c>
    </row>
    <row r="7" spans="1:5" x14ac:dyDescent="0.2">
      <c r="A7" s="11">
        <v>5</v>
      </c>
      <c r="B7" s="10">
        <v>5</v>
      </c>
      <c r="C7" s="10">
        <v>5</v>
      </c>
      <c r="D7" s="10">
        <v>5</v>
      </c>
      <c r="E7" s="10">
        <v>5</v>
      </c>
    </row>
    <row r="8" spans="1:5" x14ac:dyDescent="0.2">
      <c r="A8" s="11">
        <v>6</v>
      </c>
      <c r="B8" s="10">
        <v>3</v>
      </c>
      <c r="C8" s="10">
        <v>4</v>
      </c>
      <c r="D8" s="10">
        <v>5</v>
      </c>
      <c r="E8" s="10">
        <v>5</v>
      </c>
    </row>
    <row r="9" spans="1:5" x14ac:dyDescent="0.2">
      <c r="A9" s="11">
        <v>7</v>
      </c>
      <c r="B9" s="10">
        <v>4</v>
      </c>
      <c r="C9" s="10">
        <v>5</v>
      </c>
      <c r="D9" s="10">
        <v>5</v>
      </c>
      <c r="E9" s="10">
        <v>5</v>
      </c>
    </row>
    <row r="10" spans="1:5" x14ac:dyDescent="0.2">
      <c r="A10" s="11">
        <v>8</v>
      </c>
      <c r="B10" s="10">
        <v>4</v>
      </c>
      <c r="C10" s="10">
        <v>5</v>
      </c>
      <c r="D10" s="10">
        <v>4</v>
      </c>
      <c r="E10" s="10">
        <v>5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89D2-9224-0248-A3DA-A5ADC4305676}">
  <dimension ref="A1:O21"/>
  <sheetViews>
    <sheetView zoomScale="161" workbookViewId="0">
      <selection activeCell="E8" sqref="E8"/>
    </sheetView>
  </sheetViews>
  <sheetFormatPr baseColWidth="10" defaultRowHeight="16" x14ac:dyDescent="0.2"/>
  <cols>
    <col min="1" max="1" width="25.1640625" bestFit="1" customWidth="1"/>
    <col min="2" max="2" width="13.1640625" customWidth="1"/>
    <col min="8" max="8" width="22.83203125" bestFit="1" customWidth="1"/>
    <col min="10" max="10" width="27" bestFit="1" customWidth="1"/>
  </cols>
  <sheetData>
    <row r="1" spans="1:15" x14ac:dyDescent="0.2">
      <c r="A1" s="7" t="s">
        <v>10</v>
      </c>
      <c r="J1" s="7" t="s">
        <v>11</v>
      </c>
    </row>
    <row r="3" spans="1:15" x14ac:dyDescent="0.2">
      <c r="A3" s="1" t="s">
        <v>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2" t="s">
        <v>4</v>
      </c>
      <c r="H3" s="8" t="s">
        <v>16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</row>
    <row r="4" spans="1:15" x14ac:dyDescent="0.2">
      <c r="A4" s="1">
        <v>1</v>
      </c>
      <c r="B4" s="1">
        <f>COUNTIFS(Data!B$3:B$10, $A4, Data!C$3:C$10, B$3)</f>
        <v>0</v>
      </c>
      <c r="C4" s="1">
        <f>COUNTIFS(Data!B$3:B$10, $A4, Data!C$3:C$10, C$3)</f>
        <v>1</v>
      </c>
      <c r="D4" s="1">
        <f>COUNTIFS(Data!B$3:B$10, $A4, Data!C$3:C$10, D$3)</f>
        <v>0</v>
      </c>
      <c r="E4" s="1">
        <f>COUNTIFS(Data!B$3:B$10, $A4, Data!C$3:C$10, E$3)</f>
        <v>0</v>
      </c>
      <c r="F4" s="1">
        <f>COUNTIFS(Data!B$3:B$10, $A4, Data!C$3:C$10, F$3)</f>
        <v>1</v>
      </c>
      <c r="G4" s="2">
        <f>SUM(B4:F4)</f>
        <v>2</v>
      </c>
      <c r="H4" s="8">
        <f>G4/8</f>
        <v>0.25</v>
      </c>
      <c r="J4" s="1">
        <v>1</v>
      </c>
      <c r="K4">
        <f>1 - ABS(K3 - $J$4) / (5 - 1)</f>
        <v>1</v>
      </c>
      <c r="L4">
        <f>1 - ABS(L3 - $J$4) / (5 - 1)</f>
        <v>0.75</v>
      </c>
      <c r="M4">
        <f t="shared" ref="M4:O4" si="0">1 - ABS(M3 - $J$4) / (5 - 1)</f>
        <v>0.5</v>
      </c>
      <c r="N4">
        <f t="shared" si="0"/>
        <v>0.25</v>
      </c>
      <c r="O4">
        <f t="shared" si="0"/>
        <v>0</v>
      </c>
    </row>
    <row r="5" spans="1:15" x14ac:dyDescent="0.2">
      <c r="A5" s="1">
        <v>2</v>
      </c>
      <c r="B5" s="1">
        <f>COUNTIFS(Data!B$3:B$10, $A5, Data!C$3:C$10, B$3)</f>
        <v>0</v>
      </c>
      <c r="C5" s="1">
        <f>COUNTIFS(Data!B$3:B$10, $A5, Data!C$3:C$10, C$3)</f>
        <v>0</v>
      </c>
      <c r="D5" s="1">
        <f>COUNTIFS(Data!B$3:B$10, $A5, Data!C$3:C$10, D$3)</f>
        <v>0</v>
      </c>
      <c r="E5" s="1">
        <f>COUNTIFS(Data!B$3:B$10, $A5, Data!C$3:C$10, E$3)</f>
        <v>0</v>
      </c>
      <c r="F5" s="1">
        <f>COUNTIFS(Data!B$3:B$10, $A5, Data!C$3:C$10, F$3)</f>
        <v>1</v>
      </c>
      <c r="G5" s="2">
        <f t="shared" ref="G5:G8" si="1">SUM(B5:F5)</f>
        <v>1</v>
      </c>
      <c r="H5" s="8">
        <f t="shared" ref="H5:H8" si="2">G5/8</f>
        <v>0.125</v>
      </c>
      <c r="J5" s="1">
        <v>2</v>
      </c>
      <c r="K5">
        <f>1 - ABS(K3 - $J$5) / (5 - 1)</f>
        <v>0.75</v>
      </c>
      <c r="L5">
        <f t="shared" ref="L5:O5" si="3">1 - ABS(L3 - $J$5) / (5 - 1)</f>
        <v>1</v>
      </c>
      <c r="M5">
        <f t="shared" si="3"/>
        <v>0.75</v>
      </c>
      <c r="N5">
        <f t="shared" si="3"/>
        <v>0.5</v>
      </c>
      <c r="O5">
        <f t="shared" si="3"/>
        <v>0.25</v>
      </c>
    </row>
    <row r="6" spans="1:15" x14ac:dyDescent="0.2">
      <c r="A6" s="1">
        <v>3</v>
      </c>
      <c r="B6" s="1">
        <f>COUNTIFS(Data!B$3:B$10, $A6, Data!C$3:C$10, B$3)</f>
        <v>0</v>
      </c>
      <c r="C6" s="1">
        <f>COUNTIFS(Data!B$3:B$10, $A6, Data!C$3:C$10, C$3)</f>
        <v>0</v>
      </c>
      <c r="D6" s="1">
        <f>COUNTIFS(Data!B$3:B$10, $A6, Data!C$3:C$10, D$3)</f>
        <v>0</v>
      </c>
      <c r="E6" s="1">
        <f>COUNTIFS(Data!B$3:B$10, $A6, Data!C$3:C$10, E$3)</f>
        <v>1</v>
      </c>
      <c r="F6" s="1">
        <f>COUNTIFS(Data!B$3:B$10, $A6, Data!C$3:C$10, F$3)</f>
        <v>1</v>
      </c>
      <c r="G6" s="2">
        <f t="shared" si="1"/>
        <v>2</v>
      </c>
      <c r="H6" s="8">
        <f t="shared" si="2"/>
        <v>0.25</v>
      </c>
      <c r="J6" s="1">
        <v>3</v>
      </c>
      <c r="K6">
        <f>1 - ABS(K3 - $J$6) / (5 - 1)</f>
        <v>0.5</v>
      </c>
      <c r="L6">
        <f t="shared" ref="L6:O6" si="4">1 - ABS(L3 - $J$6) / (5 - 1)</f>
        <v>0.75</v>
      </c>
      <c r="M6">
        <f t="shared" si="4"/>
        <v>1</v>
      </c>
      <c r="N6">
        <f t="shared" si="4"/>
        <v>0.75</v>
      </c>
      <c r="O6">
        <f t="shared" si="4"/>
        <v>0.5</v>
      </c>
    </row>
    <row r="7" spans="1:15" x14ac:dyDescent="0.2">
      <c r="A7" s="1">
        <v>4</v>
      </c>
      <c r="B7" s="1">
        <f>COUNTIFS(Data!B$3:B$10, $A7, Data!C$3:C$10, B$3)</f>
        <v>0</v>
      </c>
      <c r="C7" s="1">
        <f>COUNTIFS(Data!B$3:B$10, $A7, Data!C$3:C$10, C$3)</f>
        <v>0</v>
      </c>
      <c r="D7" s="1">
        <f>COUNTIFS(Data!B$3:B$10, $A7, Data!C$3:C$10, D$3)</f>
        <v>0</v>
      </c>
      <c r="E7" s="1">
        <f>COUNTIFS(Data!B$3:B$10, $A7, Data!C$3:C$10, E$3)</f>
        <v>0</v>
      </c>
      <c r="F7" s="1">
        <f>COUNTIFS(Data!B$3:B$10, $A7, Data!C$3:C$10, F$3)</f>
        <v>2</v>
      </c>
      <c r="G7" s="2">
        <f t="shared" si="1"/>
        <v>2</v>
      </c>
      <c r="H7" s="8">
        <f t="shared" si="2"/>
        <v>0.25</v>
      </c>
      <c r="J7" s="1">
        <v>4</v>
      </c>
      <c r="K7">
        <f>1 - ABS(K3 - $J$7) / (5 - 1)</f>
        <v>0.25</v>
      </c>
      <c r="L7">
        <f t="shared" ref="L7:O7" si="5">1 - ABS(L3 - $J$7) / (5 - 1)</f>
        <v>0.5</v>
      </c>
      <c r="M7">
        <f t="shared" si="5"/>
        <v>0.75</v>
      </c>
      <c r="N7">
        <f t="shared" si="5"/>
        <v>1</v>
      </c>
      <c r="O7">
        <f t="shared" si="5"/>
        <v>0.75</v>
      </c>
    </row>
    <row r="8" spans="1:15" x14ac:dyDescent="0.2">
      <c r="A8" s="1">
        <v>5</v>
      </c>
      <c r="B8" s="1">
        <f>COUNTIFS(Data!B$3:B$10, $A8, Data!C$3:C$10, B$3)</f>
        <v>0</v>
      </c>
      <c r="C8" s="1">
        <f>COUNTIFS(Data!B$3:B$10, $A8, Data!C$3:C$10, C$3)</f>
        <v>0</v>
      </c>
      <c r="D8" s="1">
        <f>COUNTIFS(Data!B$3:B$10, $A8, Data!C$3:C$10, D$3)</f>
        <v>0</v>
      </c>
      <c r="E8" s="1">
        <f>COUNTIFS(Data!B$3:B$10, $A8, Data!C$3:C$10, E$3)</f>
        <v>0</v>
      </c>
      <c r="F8" s="1">
        <f>COUNTIFS(Data!B$3:B$10, $A8, Data!C$3:C$10, F$3)</f>
        <v>1</v>
      </c>
      <c r="G8" s="2">
        <f t="shared" si="1"/>
        <v>1</v>
      </c>
      <c r="H8" s="8">
        <f t="shared" si="2"/>
        <v>0.125</v>
      </c>
      <c r="J8" s="1">
        <v>5</v>
      </c>
      <c r="K8">
        <f>1 - ABS(K3 - $J$8) / (5 - 1)</f>
        <v>0</v>
      </c>
      <c r="L8">
        <f t="shared" ref="L8:O8" si="6">1 - ABS(L3 - $J$8) / (5 - 1)</f>
        <v>0.25</v>
      </c>
      <c r="M8">
        <f t="shared" si="6"/>
        <v>0.5</v>
      </c>
      <c r="N8">
        <f t="shared" si="6"/>
        <v>0.75</v>
      </c>
      <c r="O8">
        <f t="shared" si="6"/>
        <v>1</v>
      </c>
    </row>
    <row r="9" spans="1:15" x14ac:dyDescent="0.2">
      <c r="A9" s="2" t="s">
        <v>4</v>
      </c>
      <c r="B9" s="2">
        <f>SUM(B4:B8)</f>
        <v>0</v>
      </c>
      <c r="C9" s="2">
        <f t="shared" ref="C9:F9" si="7">SUM(C4:C8)</f>
        <v>1</v>
      </c>
      <c r="D9" s="2">
        <f t="shared" si="7"/>
        <v>0</v>
      </c>
      <c r="E9" s="2">
        <f t="shared" si="7"/>
        <v>1</v>
      </c>
      <c r="F9" s="2">
        <f t="shared" si="7"/>
        <v>6</v>
      </c>
      <c r="G9" s="2">
        <f>SUM(G4:G8)</f>
        <v>8</v>
      </c>
    </row>
    <row r="10" spans="1:15" x14ac:dyDescent="0.2">
      <c r="A10" s="8" t="s">
        <v>17</v>
      </c>
      <c r="B10" s="8">
        <f>B9/8</f>
        <v>0</v>
      </c>
      <c r="C10" s="8">
        <f t="shared" ref="C10:F10" si="8">C9/8</f>
        <v>0.125</v>
      </c>
      <c r="D10" s="8">
        <f t="shared" si="8"/>
        <v>0</v>
      </c>
      <c r="E10" s="8">
        <f t="shared" si="8"/>
        <v>0.125</v>
      </c>
      <c r="F10" s="8">
        <f t="shared" si="8"/>
        <v>0.75</v>
      </c>
    </row>
    <row r="11" spans="1:15" x14ac:dyDescent="0.2">
      <c r="A11" t="s">
        <v>13</v>
      </c>
      <c r="B11">
        <f>(B9*$G4)/64</f>
        <v>0</v>
      </c>
      <c r="C11">
        <f>(C9*G5)/64</f>
        <v>1.5625E-2</v>
      </c>
      <c r="D11">
        <f>(D9*$G6)/64</f>
        <v>0</v>
      </c>
      <c r="E11">
        <f>(E9*$G7)/64</f>
        <v>3.125E-2</v>
      </c>
      <c r="F11">
        <f>(F9*$G8)/64</f>
        <v>9.375E-2</v>
      </c>
      <c r="G11">
        <f>SUM(B11:F11)</f>
        <v>0.140625</v>
      </c>
    </row>
    <row r="12" spans="1:15" x14ac:dyDescent="0.2">
      <c r="A12" t="s">
        <v>12</v>
      </c>
      <c r="B12">
        <f>SUM(B4,C5,D6,E7,F8)/8</f>
        <v>0.125</v>
      </c>
    </row>
    <row r="13" spans="1:15" x14ac:dyDescent="0.2">
      <c r="A13" t="s">
        <v>14</v>
      </c>
      <c r="B13">
        <f>SUMPRODUCT(B4:F8, K4:O8)/G9</f>
        <v>0.59375</v>
      </c>
    </row>
    <row r="14" spans="1:15" x14ac:dyDescent="0.2">
      <c r="A14" t="s">
        <v>15</v>
      </c>
      <c r="B14">
        <f>SUM(K17:O21)</f>
        <v>0.515625</v>
      </c>
      <c r="J14" s="7" t="s">
        <v>18</v>
      </c>
    </row>
    <row r="16" spans="1:15" x14ac:dyDescent="0.2">
      <c r="J16" s="1" t="s">
        <v>7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</row>
    <row r="17" spans="1:15" x14ac:dyDescent="0.2">
      <c r="A17" s="4" t="s">
        <v>8</v>
      </c>
      <c r="J17" s="1">
        <v>1</v>
      </c>
      <c r="K17">
        <f>(K4*$H4*$B$10)</f>
        <v>0</v>
      </c>
      <c r="L17">
        <f>(L4*$H4*$C$10)</f>
        <v>2.34375E-2</v>
      </c>
      <c r="M17">
        <f>(M4*$H4*$D$10)</f>
        <v>0</v>
      </c>
      <c r="N17">
        <f>(N4*$H4*$E$10)</f>
        <v>7.8125E-3</v>
      </c>
      <c r="O17">
        <f>(O4*$H4*$F$10)</f>
        <v>0</v>
      </c>
    </row>
    <row r="18" spans="1:15" x14ac:dyDescent="0.2">
      <c r="A18" s="3" t="s">
        <v>5</v>
      </c>
      <c r="B18" s="3">
        <f>(B12-G11)/(1-G11)</f>
        <v>-1.8181818181818181E-2</v>
      </c>
      <c r="J18" s="1">
        <v>2</v>
      </c>
      <c r="K18">
        <f t="shared" ref="K18:K21" si="9">(K5*$H5*$B$10)</f>
        <v>0</v>
      </c>
      <c r="L18">
        <f t="shared" ref="L18:L21" si="10">(L5*$H5*$C$10)</f>
        <v>1.5625E-2</v>
      </c>
      <c r="M18">
        <f t="shared" ref="M18:M21" si="11">(M5*$H5*$D$10)</f>
        <v>0</v>
      </c>
      <c r="N18">
        <f t="shared" ref="N18:N21" si="12">(N5*$H5*$E$10)</f>
        <v>7.8125E-3</v>
      </c>
      <c r="O18">
        <f t="shared" ref="O18:O21" si="13">(O5*$H5*$F$10)</f>
        <v>2.34375E-2</v>
      </c>
    </row>
    <row r="19" spans="1:15" x14ac:dyDescent="0.2">
      <c r="A19" s="5" t="s">
        <v>9</v>
      </c>
      <c r="B19" s="6">
        <f>SUM(B4,C5,D6,E7,F8)/8</f>
        <v>0.125</v>
      </c>
      <c r="J19" s="1">
        <v>3</v>
      </c>
      <c r="K19">
        <f t="shared" si="9"/>
        <v>0</v>
      </c>
      <c r="L19">
        <f t="shared" si="10"/>
        <v>2.34375E-2</v>
      </c>
      <c r="M19">
        <f t="shared" si="11"/>
        <v>0</v>
      </c>
      <c r="N19">
        <f t="shared" si="12"/>
        <v>2.34375E-2</v>
      </c>
      <c r="O19">
        <f t="shared" si="13"/>
        <v>9.375E-2</v>
      </c>
    </row>
    <row r="20" spans="1:15" x14ac:dyDescent="0.2">
      <c r="A20" s="9" t="s">
        <v>19</v>
      </c>
      <c r="B20" s="9">
        <f>(B13-B14)/(1-B14)</f>
        <v>0.16129032258064516</v>
      </c>
      <c r="J20" s="1">
        <v>4</v>
      </c>
      <c r="K20">
        <f t="shared" si="9"/>
        <v>0</v>
      </c>
      <c r="L20">
        <f t="shared" si="10"/>
        <v>1.5625E-2</v>
      </c>
      <c r="M20">
        <f t="shared" si="11"/>
        <v>0</v>
      </c>
      <c r="N20">
        <f t="shared" si="12"/>
        <v>3.125E-2</v>
      </c>
      <c r="O20">
        <f t="shared" si="13"/>
        <v>0.140625</v>
      </c>
    </row>
    <row r="21" spans="1:15" x14ac:dyDescent="0.2">
      <c r="J21" s="1">
        <v>5</v>
      </c>
      <c r="K21">
        <f t="shared" si="9"/>
        <v>0</v>
      </c>
      <c r="L21">
        <f t="shared" si="10"/>
        <v>3.90625E-3</v>
      </c>
      <c r="M21">
        <f t="shared" si="11"/>
        <v>0</v>
      </c>
      <c r="N21">
        <f t="shared" si="12"/>
        <v>1.171875E-2</v>
      </c>
      <c r="O21">
        <f t="shared" si="13"/>
        <v>9.375E-2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4A2C-C3F5-FF42-A37D-EA4DC48D69B4}">
  <dimension ref="A1:O21"/>
  <sheetViews>
    <sheetView tabSelected="1" zoomScale="161" workbookViewId="0">
      <selection activeCell="E5" sqref="E5"/>
    </sheetView>
  </sheetViews>
  <sheetFormatPr baseColWidth="10" defaultRowHeight="16" x14ac:dyDescent="0.2"/>
  <cols>
    <col min="1" max="1" width="25.1640625" bestFit="1" customWidth="1"/>
    <col min="2" max="2" width="13.1640625" customWidth="1"/>
    <col min="8" max="8" width="22.83203125" bestFit="1" customWidth="1"/>
    <col min="10" max="10" width="27" bestFit="1" customWidth="1"/>
  </cols>
  <sheetData>
    <row r="1" spans="1:15" x14ac:dyDescent="0.2">
      <c r="A1" s="7" t="s">
        <v>10</v>
      </c>
      <c r="J1" s="7" t="s">
        <v>11</v>
      </c>
    </row>
    <row r="3" spans="1:15" x14ac:dyDescent="0.2">
      <c r="A3" s="1" t="s">
        <v>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2" t="s">
        <v>4</v>
      </c>
      <c r="H3" s="8" t="s">
        <v>16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</row>
    <row r="4" spans="1:15" x14ac:dyDescent="0.2">
      <c r="A4" s="1">
        <v>1</v>
      </c>
      <c r="B4" s="1">
        <f>COUNTIFS(Data!D$3:D$10, $A4, Data!E$3:E$10, B$3)</f>
        <v>0</v>
      </c>
      <c r="C4" s="1">
        <f>COUNTIFS(Data!D$3:D$10, $A4, Data!E$3:E$10, C$3)</f>
        <v>0</v>
      </c>
      <c r="D4" s="1">
        <f>COUNTIFS(Data!D$3:D$10, $A4, Data!E$3:E$10, D$3)</f>
        <v>0</v>
      </c>
      <c r="E4" s="1">
        <f>COUNTIFS(Data!D$3:D$10, $A4, Data!E$3:E$10, E$3)</f>
        <v>0</v>
      </c>
      <c r="F4" s="1">
        <f>COUNTIFS(Data!D$3:D$10, $A4, Data!E$3:E$10, F$3)</f>
        <v>0</v>
      </c>
      <c r="G4" s="2">
        <f>SUM(B4:F4)</f>
        <v>0</v>
      </c>
      <c r="H4" s="8">
        <f>G4/8</f>
        <v>0</v>
      </c>
      <c r="J4" s="1">
        <v>1</v>
      </c>
      <c r="K4">
        <f>1 - ABS(K3 - $J$4) / (5 - 1)</f>
        <v>1</v>
      </c>
      <c r="L4">
        <f>1 - ABS(L3 - $J$4) / (5 - 1)</f>
        <v>0.75</v>
      </c>
      <c r="M4">
        <f t="shared" ref="M4:O4" si="0">1 - ABS(M3 - $J$4) / (5 - 1)</f>
        <v>0.5</v>
      </c>
      <c r="N4">
        <f t="shared" si="0"/>
        <v>0.25</v>
      </c>
      <c r="O4">
        <f t="shared" si="0"/>
        <v>0</v>
      </c>
    </row>
    <row r="5" spans="1:15" x14ac:dyDescent="0.2">
      <c r="A5" s="1">
        <v>2</v>
      </c>
      <c r="B5" s="1">
        <f>COUNTIFS(Data!D$3:D$10, $A5, Data!E$3:E$10, B$3)</f>
        <v>0</v>
      </c>
      <c r="C5" s="1">
        <f>COUNTIFS(Data!D$3:D$10, $A5, Data!E$3:E$10, C$3)</f>
        <v>0</v>
      </c>
      <c r="D5" s="1">
        <f>COUNTIFS(Data!D$3:D$10, $A5, Data!E$3:E$10, D$3)</f>
        <v>0</v>
      </c>
      <c r="E5" s="1">
        <f>COUNTIFS(Data!D$3:D$10, $A5, Data!E$3:E$10, E$3)</f>
        <v>0</v>
      </c>
      <c r="F5" s="1">
        <f>COUNTIFS(Data!D$3:D$10, $A5, Data!E$3:E$10, F$3)</f>
        <v>0</v>
      </c>
      <c r="G5" s="2">
        <f t="shared" ref="G5:G8" si="1">SUM(B5:F5)</f>
        <v>0</v>
      </c>
      <c r="H5" s="8">
        <f t="shared" ref="H5:H8" si="2">G5/8</f>
        <v>0</v>
      </c>
      <c r="J5" s="1">
        <v>2</v>
      </c>
      <c r="K5">
        <f>1 - ABS(K3 - $J$5) / (5 - 1)</f>
        <v>0.75</v>
      </c>
      <c r="L5">
        <f t="shared" ref="L5:O5" si="3">1 - ABS(L3 - $J$5) / (5 - 1)</f>
        <v>1</v>
      </c>
      <c r="M5">
        <f t="shared" si="3"/>
        <v>0.75</v>
      </c>
      <c r="N5">
        <f t="shared" si="3"/>
        <v>0.5</v>
      </c>
      <c r="O5">
        <f t="shared" si="3"/>
        <v>0.25</v>
      </c>
    </row>
    <row r="6" spans="1:15" x14ac:dyDescent="0.2">
      <c r="A6" s="1">
        <v>3</v>
      </c>
      <c r="B6" s="1">
        <f>COUNTIFS(Data!D$3:D$10, $A6, Data!E$3:E$10, B$3)</f>
        <v>0</v>
      </c>
      <c r="C6" s="1">
        <f>COUNTIFS(Data!D$3:D$10, $A6, Data!E$3:E$10, C$3)</f>
        <v>0</v>
      </c>
      <c r="D6" s="1">
        <f>COUNTIFS(Data!D$3:D$10, $A6, Data!E$3:E$10, D$3)</f>
        <v>0</v>
      </c>
      <c r="E6" s="1">
        <f>COUNTIFS(Data!D$3:D$10, $A6, Data!E$3:E$10, E$3)</f>
        <v>0</v>
      </c>
      <c r="F6" s="1">
        <f>COUNTIFS(Data!D$3:D$10, $A6, Data!E$3:E$10, F$3)</f>
        <v>0</v>
      </c>
      <c r="G6" s="2">
        <f t="shared" si="1"/>
        <v>0</v>
      </c>
      <c r="H6" s="8">
        <f t="shared" si="2"/>
        <v>0</v>
      </c>
      <c r="J6" s="1">
        <v>3</v>
      </c>
      <c r="K6">
        <f>1 - ABS(K3 - $J$6) / (5 - 1)</f>
        <v>0.5</v>
      </c>
      <c r="L6">
        <f t="shared" ref="L6:O6" si="4">1 - ABS(L3 - $J$6) / (5 - 1)</f>
        <v>0.75</v>
      </c>
      <c r="M6">
        <f t="shared" si="4"/>
        <v>1</v>
      </c>
      <c r="N6">
        <f t="shared" si="4"/>
        <v>0.75</v>
      </c>
      <c r="O6">
        <f t="shared" si="4"/>
        <v>0.5</v>
      </c>
    </row>
    <row r="7" spans="1:15" x14ac:dyDescent="0.2">
      <c r="A7" s="1">
        <v>4</v>
      </c>
      <c r="B7" s="1">
        <f>COUNTIFS(Data!D$3:D$10, $A7, Data!E$3:E$10, B$3)</f>
        <v>0</v>
      </c>
      <c r="C7" s="1">
        <f>COUNTIFS(Data!D$3:D$10, $A7, Data!E$3:E$10, C$3)</f>
        <v>1</v>
      </c>
      <c r="D7" s="1">
        <f>COUNTIFS(Data!D$3:D$10, $A7, Data!E$3:E$10, D$3)</f>
        <v>0</v>
      </c>
      <c r="E7" s="1">
        <f>COUNTIFS(Data!D$3:D$10, $A7, Data!E$3:E$10, E$3)</f>
        <v>0</v>
      </c>
      <c r="F7" s="1">
        <f>COUNTIFS(Data!D$3:D$10, $A7, Data!E$3:E$10, F$3)</f>
        <v>1</v>
      </c>
      <c r="G7" s="2">
        <f t="shared" si="1"/>
        <v>2</v>
      </c>
      <c r="H7" s="8">
        <f t="shared" si="2"/>
        <v>0.25</v>
      </c>
      <c r="J7" s="1">
        <v>4</v>
      </c>
      <c r="K7">
        <f>1 - ABS(K3 - $J$7) / (5 - 1)</f>
        <v>0.25</v>
      </c>
      <c r="L7">
        <f t="shared" ref="L7:O7" si="5">1 - ABS(L3 - $J$7) / (5 - 1)</f>
        <v>0.5</v>
      </c>
      <c r="M7">
        <f t="shared" si="5"/>
        <v>0.75</v>
      </c>
      <c r="N7">
        <f t="shared" si="5"/>
        <v>1</v>
      </c>
      <c r="O7">
        <f t="shared" si="5"/>
        <v>0.75</v>
      </c>
    </row>
    <row r="8" spans="1:15" x14ac:dyDescent="0.2">
      <c r="A8" s="1">
        <v>5</v>
      </c>
      <c r="B8" s="1">
        <f>COUNTIFS(Data!D$3:D$10, $A8, Data!E$3:E$10, B$3)</f>
        <v>0</v>
      </c>
      <c r="C8" s="1">
        <f>COUNTIFS(Data!D$3:D$10, $A8, Data!E$3:E$10, C$3)</f>
        <v>0</v>
      </c>
      <c r="D8" s="1">
        <f>COUNTIFS(Data!D$3:D$10, $A8, Data!E$3:E$10, D$3)</f>
        <v>0</v>
      </c>
      <c r="E8" s="1">
        <f>COUNTIFS(Data!D$3:D$10, $A8, Data!E$3:E$10, E$3)</f>
        <v>0</v>
      </c>
      <c r="F8" s="1">
        <f>COUNTIFS(Data!D$3:D$10, $A8, Data!E$3:E$10, F$3)</f>
        <v>6</v>
      </c>
      <c r="G8" s="2">
        <f t="shared" si="1"/>
        <v>6</v>
      </c>
      <c r="H8" s="8">
        <f t="shared" si="2"/>
        <v>0.75</v>
      </c>
      <c r="J8" s="1">
        <v>5</v>
      </c>
      <c r="K8">
        <f>1 - ABS(K3 - $J$8) / (5 - 1)</f>
        <v>0</v>
      </c>
      <c r="L8">
        <f t="shared" ref="L8:O8" si="6">1 - ABS(L3 - $J$8) / (5 - 1)</f>
        <v>0.25</v>
      </c>
      <c r="M8">
        <f t="shared" si="6"/>
        <v>0.5</v>
      </c>
      <c r="N8">
        <f t="shared" si="6"/>
        <v>0.75</v>
      </c>
      <c r="O8">
        <f t="shared" si="6"/>
        <v>1</v>
      </c>
    </row>
    <row r="9" spans="1:15" x14ac:dyDescent="0.2">
      <c r="A9" s="2" t="s">
        <v>4</v>
      </c>
      <c r="B9" s="2">
        <f>SUM(B4:B8)</f>
        <v>0</v>
      </c>
      <c r="C9" s="2">
        <f t="shared" ref="C9:F9" si="7">SUM(C4:C8)</f>
        <v>1</v>
      </c>
      <c r="D9" s="2">
        <f t="shared" si="7"/>
        <v>0</v>
      </c>
      <c r="E9" s="2">
        <f t="shared" si="7"/>
        <v>0</v>
      </c>
      <c r="F9" s="2">
        <f t="shared" si="7"/>
        <v>7</v>
      </c>
      <c r="G9" s="2">
        <f>SUM(G4:G8)</f>
        <v>8</v>
      </c>
    </row>
    <row r="10" spans="1:15" x14ac:dyDescent="0.2">
      <c r="A10" s="8" t="s">
        <v>17</v>
      </c>
      <c r="B10" s="8">
        <f>B9/8</f>
        <v>0</v>
      </c>
      <c r="C10" s="8">
        <f t="shared" ref="C10:F10" si="8">C9/8</f>
        <v>0.125</v>
      </c>
      <c r="D10" s="8">
        <f t="shared" si="8"/>
        <v>0</v>
      </c>
      <c r="E10" s="8">
        <f t="shared" si="8"/>
        <v>0</v>
      </c>
      <c r="F10" s="8">
        <f t="shared" si="8"/>
        <v>0.875</v>
      </c>
    </row>
    <row r="11" spans="1:15" x14ac:dyDescent="0.2">
      <c r="A11" t="s">
        <v>13</v>
      </c>
      <c r="B11">
        <f>(B9*$G4)/64</f>
        <v>0</v>
      </c>
      <c r="C11">
        <f>(C9*G5)/64</f>
        <v>0</v>
      </c>
      <c r="D11">
        <f>(D9*$G6)/64</f>
        <v>0</v>
      </c>
      <c r="E11">
        <f>(E9*$G7)/64</f>
        <v>0</v>
      </c>
      <c r="F11">
        <f>(F9*$G8)/64</f>
        <v>0.65625</v>
      </c>
      <c r="G11">
        <f>SUM(B11:F11)</f>
        <v>0.65625</v>
      </c>
    </row>
    <row r="12" spans="1:15" x14ac:dyDescent="0.2">
      <c r="A12" t="s">
        <v>12</v>
      </c>
      <c r="B12">
        <f>SUM(B4,C5,D6,E7,F8)/8</f>
        <v>0.75</v>
      </c>
    </row>
    <row r="13" spans="1:15" x14ac:dyDescent="0.2">
      <c r="A13" t="s">
        <v>14</v>
      </c>
      <c r="B13">
        <f>SUMPRODUCT(B4:F8, K4:O8)/G9</f>
        <v>0.90625</v>
      </c>
    </row>
    <row r="14" spans="1:15" x14ac:dyDescent="0.2">
      <c r="A14" t="s">
        <v>15</v>
      </c>
      <c r="B14">
        <f>SUM(K17:O21)</f>
        <v>0.859375</v>
      </c>
      <c r="J14" s="7" t="s">
        <v>18</v>
      </c>
    </row>
    <row r="16" spans="1:15" x14ac:dyDescent="0.2">
      <c r="J16" s="1" t="s">
        <v>7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</row>
    <row r="17" spans="1:15" x14ac:dyDescent="0.2">
      <c r="A17" s="4" t="s">
        <v>8</v>
      </c>
      <c r="J17" s="1">
        <v>1</v>
      </c>
      <c r="K17">
        <f>(K4*$H4*$B$10)</f>
        <v>0</v>
      </c>
      <c r="L17">
        <f>(L4*$H4*$C$10)</f>
        <v>0</v>
      </c>
      <c r="M17">
        <f>(M4*$H4*$D$10)</f>
        <v>0</v>
      </c>
      <c r="N17">
        <f>(N4*$H4*$E$10)</f>
        <v>0</v>
      </c>
      <c r="O17">
        <f>(O4*$H4*$F$10)</f>
        <v>0</v>
      </c>
    </row>
    <row r="18" spans="1:15" x14ac:dyDescent="0.2">
      <c r="A18" s="3" t="s">
        <v>5</v>
      </c>
      <c r="B18" s="3">
        <f>(B12-G11)/(1-G11)</f>
        <v>0.27272727272727271</v>
      </c>
      <c r="J18" s="1">
        <v>2</v>
      </c>
      <c r="K18">
        <f t="shared" ref="K18:K21" si="9">(K5*$H5*$B$10)</f>
        <v>0</v>
      </c>
      <c r="L18">
        <f t="shared" ref="L18:L21" si="10">(L5*$H5*$C$10)</f>
        <v>0</v>
      </c>
      <c r="M18">
        <f t="shared" ref="M18:M21" si="11">(M5*$H5*$D$10)</f>
        <v>0</v>
      </c>
      <c r="N18">
        <f t="shared" ref="N18:N21" si="12">(N5*$H5*$E$10)</f>
        <v>0</v>
      </c>
      <c r="O18">
        <f t="shared" ref="O18:O21" si="13">(O5*$H5*$F$10)</f>
        <v>0</v>
      </c>
    </row>
    <row r="19" spans="1:15" x14ac:dyDescent="0.2">
      <c r="A19" s="5" t="s">
        <v>9</v>
      </c>
      <c r="B19" s="6">
        <f>SUM(B4,C5,D6,E7,F8)/8</f>
        <v>0.75</v>
      </c>
      <c r="J19" s="1">
        <v>3</v>
      </c>
      <c r="K19">
        <f t="shared" si="9"/>
        <v>0</v>
      </c>
      <c r="L19">
        <f t="shared" si="10"/>
        <v>0</v>
      </c>
      <c r="M19">
        <f t="shared" si="11"/>
        <v>0</v>
      </c>
      <c r="N19">
        <f t="shared" si="12"/>
        <v>0</v>
      </c>
      <c r="O19">
        <f t="shared" si="13"/>
        <v>0</v>
      </c>
    </row>
    <row r="20" spans="1:15" x14ac:dyDescent="0.2">
      <c r="A20" s="9" t="s">
        <v>19</v>
      </c>
      <c r="B20" s="9">
        <f>(B13-B14)/(1-B14)</f>
        <v>0.33333333333333331</v>
      </c>
      <c r="J20" s="1">
        <v>4</v>
      </c>
      <c r="K20">
        <f t="shared" si="9"/>
        <v>0</v>
      </c>
      <c r="L20">
        <f t="shared" si="10"/>
        <v>1.5625E-2</v>
      </c>
      <c r="M20">
        <f t="shared" si="11"/>
        <v>0</v>
      </c>
      <c r="N20">
        <f t="shared" si="12"/>
        <v>0</v>
      </c>
      <c r="O20">
        <f t="shared" si="13"/>
        <v>0.1640625</v>
      </c>
    </row>
    <row r="21" spans="1:15" x14ac:dyDescent="0.2">
      <c r="J21" s="1">
        <v>5</v>
      </c>
      <c r="K21">
        <f t="shared" si="9"/>
        <v>0</v>
      </c>
      <c r="L21">
        <f t="shared" si="10"/>
        <v>2.34375E-2</v>
      </c>
      <c r="M21">
        <f t="shared" si="11"/>
        <v>0</v>
      </c>
      <c r="N21">
        <f t="shared" si="12"/>
        <v>0</v>
      </c>
      <c r="O21">
        <f t="shared" si="13"/>
        <v>0.65625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Faithfulness (2)</vt:lpstr>
      <vt:lpstr>Coverage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FLANDRE</dc:creator>
  <cp:lastModifiedBy>Noe FLANDRE</cp:lastModifiedBy>
  <dcterms:created xsi:type="dcterms:W3CDTF">2024-06-27T18:13:48Z</dcterms:created>
  <dcterms:modified xsi:type="dcterms:W3CDTF">2024-08-07T17:27:50Z</dcterms:modified>
</cp:coreProperties>
</file>